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_CAPEX" sheetId="1" state="visible" r:id="rId1"/>
    <sheet xmlns:r="http://schemas.openxmlformats.org/officeDocument/2006/relationships" name="02_Presupuesto_Detallado" sheetId="2" state="visible" r:id="rId2"/>
    <sheet xmlns:r="http://schemas.openxmlformats.org/officeDocument/2006/relationships" name="03_APU_Muest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F5597"/>
      <sz val="11"/>
    </font>
    <font>
      <name val="Calibri"/>
      <b val="1"/>
      <color rgb="00B00020"/>
      <sz val="10"/>
    </font>
    <font>
      <name val="Calibri"/>
      <b val="1"/>
      <color rgb="00FFFFFF"/>
      <sz val="10"/>
    </font>
    <font>
      <name val="Calibri"/>
      <color rgb="00000000"/>
      <sz val="9.5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10" fontId="5" fillId="3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10" fontId="6" fillId="4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6" fillId="4" borderId="1" applyAlignment="1" pivotButton="0" quotePrefix="0" xfId="0">
      <alignment horizontal="center"/>
    </xf>
    <xf numFmtId="4" fontId="5" fillId="0" borderId="1" pivotButton="0" quotePrefix="0" xfId="0"/>
    <xf numFmtId="0" fontId="4" fillId="2" borderId="0" pivotButton="0" quotePrefix="0" xfId="0"/>
    <xf numFmtId="0" fontId="6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6" customWidth="1" min="2" max="2"/>
    <col width="74" customWidth="1" min="3" max="3"/>
    <col width="22" customWidth="1" min="4" max="4"/>
    <col width="27" customWidth="1" min="5" max="5"/>
    <col width="20" customWidth="1" min="6" max="6"/>
    <col width="16" customWidth="1" min="7" max="7"/>
  </cols>
  <sheetData>
    <row r="1"/>
    <row r="2">
      <c r="B2" s="1" t="inlineStr">
        <is>
          <t>UNIVERSIDAD NACIONAL DEL ALTIPLANO PUNO - FACULTAD DE INGENIERÍA MECÁNICA ELÉCTRICA</t>
        </is>
      </c>
    </row>
    <row r="3">
      <c r="B3" s="2" t="inlineStr">
        <is>
          <t>PROYECTO: MICROCENTRAL HIDROELÉCTRICA RÍO BLANCO 100 kW (OLLACHEA, CARABAYA - PUNO)</t>
        </is>
      </c>
    </row>
    <row r="4">
      <c r="B4" s="3" t="inlineStr">
        <is>
          <t>RESUMEN EJECUTIVO DEL PRESUPUESTO DE INVERSIÓN (CAPEX) - MONEDA: USD</t>
        </is>
      </c>
    </row>
    <row r="5"/>
    <row r="6">
      <c r="B6" s="4" t="inlineStr">
        <is>
          <t>Ítem</t>
        </is>
      </c>
      <c r="C6" s="4" t="inlineStr">
        <is>
          <t>Componente de Inversión</t>
        </is>
      </c>
      <c r="D6" s="4" t="inlineStr">
        <is>
          <t>Costo Directo [USD]</t>
        </is>
      </c>
      <c r="E6" s="4" t="inlineStr">
        <is>
          <t>Gastos Grales y Utilidad</t>
        </is>
      </c>
      <c r="F6" s="4" t="inlineStr">
        <is>
          <t>Costo Total [USD]</t>
        </is>
      </c>
      <c r="G6" s="4" t="inlineStr">
        <is>
          <t>Participación</t>
        </is>
      </c>
    </row>
    <row r="7">
      <c r="B7" s="5" t="inlineStr">
        <is>
          <t>01.00</t>
        </is>
      </c>
      <c r="C7" s="6" t="inlineStr">
        <is>
          <t>Obras Civiles de Captación (Azud, Rejilla Coanda y Desarenador 2 Naves)</t>
        </is>
      </c>
      <c r="D7" s="7" t="n">
        <v>34000</v>
      </c>
      <c r="E7" s="7" t="n">
        <v>8500</v>
      </c>
      <c r="F7" s="7" t="n">
        <v>42500</v>
      </c>
      <c r="G7" s="8" t="n">
        <v>0.1729</v>
      </c>
    </row>
    <row r="8">
      <c r="B8" s="9" t="inlineStr">
        <is>
          <t>02.00</t>
        </is>
      </c>
      <c r="C8" s="10" t="inlineStr">
        <is>
          <t>Canal de Aducción Rectangular en Concreto Ciclópeo (450 m)</t>
        </is>
      </c>
      <c r="D8" s="11" t="n">
        <v>33600</v>
      </c>
      <c r="E8" s="11" t="n">
        <v>8400</v>
      </c>
      <c r="F8" s="11" t="n">
        <v>42000</v>
      </c>
      <c r="G8" s="12" t="n">
        <v>0.1709</v>
      </c>
    </row>
    <row r="9">
      <c r="B9" s="5" t="inlineStr">
        <is>
          <t>03.00</t>
        </is>
      </c>
      <c r="C9" s="6" t="inlineStr">
        <is>
          <t>Cámara de Carga (Forebay), Aliviadero y 4 Bloques de Anclaje</t>
        </is>
      </c>
      <c r="D9" s="7" t="n">
        <v>21440</v>
      </c>
      <c r="E9" s="7" t="n">
        <v>5360</v>
      </c>
      <c r="F9" s="7" t="n">
        <v>26800</v>
      </c>
      <c r="G9" s="8" t="n">
        <v>0.109</v>
      </c>
    </row>
    <row r="10">
      <c r="B10" s="9" t="inlineStr">
        <is>
          <t>04.00</t>
        </is>
      </c>
      <c r="C10" s="10" t="inlineStr">
        <is>
          <t>Tubería Forzada Penstock de Acero ASTM A36 (D=250mm, L=380m)</t>
        </is>
      </c>
      <c r="D10" s="11" t="n">
        <v>34800</v>
      </c>
      <c r="E10" s="11" t="n">
        <v>8700</v>
      </c>
      <c r="F10" s="11" t="n">
        <v>43500</v>
      </c>
      <c r="G10" s="12" t="n">
        <v>0.177</v>
      </c>
    </row>
    <row r="11">
      <c r="B11" s="5" t="inlineStr">
        <is>
          <t>05.00</t>
        </is>
      </c>
      <c r="C11" s="6" t="inlineStr">
        <is>
          <t>Equipamiento Hidromecánico (Turbina Pelton 2 Iny, Válvula, ELC 120 kW)</t>
        </is>
      </c>
      <c r="D11" s="7" t="n">
        <v>36000</v>
      </c>
      <c r="E11" s="7" t="n">
        <v>9000</v>
      </c>
      <c r="F11" s="7" t="n">
        <v>45000</v>
      </c>
      <c r="G11" s="8" t="n">
        <v>0.1831</v>
      </c>
    </row>
    <row r="12">
      <c r="B12" s="9" t="inlineStr">
        <is>
          <t>06.00</t>
        </is>
      </c>
      <c r="C12" s="10" t="inlineStr">
        <is>
          <t>Generador Síncrono 125 kVA, Tablero Control y Malla IEEE 80</t>
        </is>
      </c>
      <c r="D12" s="11" t="n">
        <v>13200</v>
      </c>
      <c r="E12" s="11" t="n">
        <v>3300</v>
      </c>
      <c r="F12" s="11" t="n">
        <v>16500</v>
      </c>
      <c r="G12" s="12" t="n">
        <v>0.06710000000000001</v>
      </c>
    </row>
    <row r="13">
      <c r="B13" s="5" t="inlineStr">
        <is>
          <t>07.00</t>
        </is>
      </c>
      <c r="C13" s="6" t="inlineStr">
        <is>
          <t>Subestación Elevadora 0.38/10 kV y Línea MT Aérea (3.2 km)</t>
        </is>
      </c>
      <c r="D13" s="7" t="n">
        <v>11600</v>
      </c>
      <c r="E13" s="7" t="n">
        <v>2900</v>
      </c>
      <c r="F13" s="7" t="n">
        <v>14500</v>
      </c>
      <c r="G13" s="8" t="n">
        <v>0.059</v>
      </c>
    </row>
    <row r="14">
      <c r="B14" s="9" t="inlineStr">
        <is>
          <t>08.00</t>
        </is>
      </c>
      <c r="C14" s="10" t="inlineStr">
        <is>
          <t>Ingeniería de Detalle, Red Geodésica IGN, Cartografía y Supervisión</t>
        </is>
      </c>
      <c r="D14" s="11" t="n">
        <v>6800</v>
      </c>
      <c r="E14" s="11" t="n">
        <v>1700</v>
      </c>
      <c r="F14" s="11" t="n">
        <v>8500</v>
      </c>
      <c r="G14" s="12" t="n">
        <v>0.0346</v>
      </c>
    </row>
    <row r="15">
      <c r="B15" s="5" t="inlineStr">
        <is>
          <t>09.00</t>
        </is>
      </c>
      <c r="C15" s="6" t="inlineStr">
        <is>
          <t>Plan de Manejo Ambiental, Licencia ANA, CIRA y Contingencias</t>
        </is>
      </c>
      <c r="D15" s="7" t="n">
        <v>5200</v>
      </c>
      <c r="E15" s="7" t="n">
        <v>1300</v>
      </c>
      <c r="F15" s="7" t="n">
        <v>6500</v>
      </c>
      <c r="G15" s="8" t="n">
        <v>0.0264</v>
      </c>
    </row>
    <row r="16">
      <c r="B16" s="13" t="inlineStr"/>
      <c r="C16" s="13" t="inlineStr">
        <is>
          <t>TOTAL PRESUPUESTO DE INVERSIÓN (CAPEX)</t>
        </is>
      </c>
      <c r="D16" s="14">
        <f>SUM(D7:D15)</f>
        <v/>
      </c>
      <c r="E16" s="14">
        <f>SUM(E7:E15)</f>
        <v/>
      </c>
      <c r="F16" s="14">
        <f>SUM(F7:F15)</f>
        <v/>
      </c>
      <c r="G16" s="15">
        <f>SUM(G7:G15)</f>
        <v/>
      </c>
    </row>
    <row r="17"/>
    <row r="18">
      <c r="C18" s="16" t="inlineStr">
        <is>
          <t>Costo Unitario por kW Instalado:</t>
        </is>
      </c>
      <c r="D18" s="17">
        <f>F16/100</f>
        <v/>
      </c>
      <c r="E18" s="16" t="inlineStr">
        <is>
          <t>USD / 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9" customWidth="1" min="2" max="2"/>
    <col width="74" customWidth="1" min="3" max="3"/>
    <col width="12" customWidth="1" min="4" max="4"/>
    <col width="12" customWidth="1" min="5" max="5"/>
    <col width="24" customWidth="1" min="6" max="6"/>
    <col width="16" customWidth="1" min="7" max="7"/>
  </cols>
  <sheetData>
    <row r="1"/>
    <row r="2">
      <c r="B2" s="1" t="inlineStr">
        <is>
          <t>PRESUPUESTO DETALLADO POR PARTIDAS DE OBRA - MCH RÍO BLANCO 100 kW</t>
        </is>
      </c>
    </row>
    <row r="3"/>
    <row r="4">
      <c r="B4" s="4" t="inlineStr">
        <is>
          <t>Ítem</t>
        </is>
      </c>
      <c r="C4" s="4" t="inlineStr">
        <is>
          <t>Descripción de la Partida</t>
        </is>
      </c>
      <c r="D4" s="4" t="inlineStr">
        <is>
          <t>Unidad</t>
        </is>
      </c>
      <c r="E4" s="4" t="inlineStr">
        <is>
          <t>Metrado</t>
        </is>
      </c>
      <c r="F4" s="4" t="inlineStr">
        <is>
          <t>Precio Unitario [USD]</t>
        </is>
      </c>
      <c r="G4" s="4" t="inlineStr">
        <is>
          <t>Parcial [USD]</t>
        </is>
      </c>
    </row>
    <row r="5">
      <c r="B5" s="18" t="inlineStr">
        <is>
          <t>01.00</t>
        </is>
      </c>
      <c r="C5" s="13" t="inlineStr">
        <is>
          <t>OBRAS CIVILES PRELIMINARES Y BOCATOMA</t>
        </is>
      </c>
      <c r="D5" s="18" t="inlineStr"/>
      <c r="E5" s="13" t="n"/>
      <c r="F5" s="13" t="n"/>
      <c r="G5" s="13" t="n"/>
    </row>
    <row r="6">
      <c r="B6" s="9" t="inlineStr">
        <is>
          <t>01.01</t>
        </is>
      </c>
      <c r="C6" s="10" t="inlineStr">
        <is>
          <t>Limpieza, desbroce y trazo geodésico con estación total / GNSS</t>
        </is>
      </c>
      <c r="D6" s="9" t="inlineStr">
        <is>
          <t>m2</t>
        </is>
      </c>
      <c r="E6" s="19" t="n">
        <v>1500</v>
      </c>
      <c r="F6" s="11" t="n">
        <v>3.5</v>
      </c>
      <c r="G6" s="11" t="n">
        <v>5250</v>
      </c>
    </row>
    <row r="7">
      <c r="B7" s="9" t="inlineStr">
        <is>
          <t>01.02</t>
        </is>
      </c>
      <c r="C7" s="10" t="inlineStr">
        <is>
          <t>Excavación en roca fija con martillo neumático para azud</t>
        </is>
      </c>
      <c r="D7" s="9" t="inlineStr">
        <is>
          <t>m3</t>
        </is>
      </c>
      <c r="E7" s="19" t="n">
        <v>185</v>
      </c>
      <c r="F7" s="11" t="n">
        <v>48</v>
      </c>
      <c r="G7" s="11" t="n">
        <v>8880</v>
      </c>
    </row>
    <row r="8">
      <c r="B8" s="9" t="inlineStr">
        <is>
          <t>01.03</t>
        </is>
      </c>
      <c r="C8" s="10" t="inlineStr">
        <is>
          <t>Concreto ciclópeo f'c=175 kg/cm2 + 30% PM en cuerpo de azud</t>
        </is>
      </c>
      <c r="D8" s="9" t="inlineStr">
        <is>
          <t>m3</t>
        </is>
      </c>
      <c r="E8" s="19" t="n">
        <v>65</v>
      </c>
      <c r="F8" s="11" t="n">
        <v>135</v>
      </c>
      <c r="G8" s="11" t="n">
        <v>8775</v>
      </c>
    </row>
    <row r="9">
      <c r="B9" s="9" t="inlineStr">
        <is>
          <t>01.04</t>
        </is>
      </c>
      <c r="C9" s="10" t="inlineStr">
        <is>
          <t>Rejilla Coanda autolimpiante de acero inoxidable AISI 304 (e=25mm)</t>
        </is>
      </c>
      <c r="D9" s="9" t="inlineStr">
        <is>
          <t>und</t>
        </is>
      </c>
      <c r="E9" s="19" t="n">
        <v>1</v>
      </c>
      <c r="F9" s="11" t="n">
        <v>5500</v>
      </c>
      <c r="G9" s="11" t="n">
        <v>5500</v>
      </c>
    </row>
    <row r="10">
      <c r="B10" s="9" t="inlineStr">
        <is>
          <t>01.05</t>
        </is>
      </c>
      <c r="C10" s="10" t="inlineStr">
        <is>
          <t>Compuerta plana deslizante de captación y limpia (0.80x0.80m)</t>
        </is>
      </c>
      <c r="D10" s="9" t="inlineStr">
        <is>
          <t>und</t>
        </is>
      </c>
      <c r="E10" s="19" t="n">
        <v>2</v>
      </c>
      <c r="F10" s="11" t="n">
        <v>2800</v>
      </c>
      <c r="G10" s="11" t="n">
        <v>5600</v>
      </c>
    </row>
    <row r="11">
      <c r="B11" s="18" t="inlineStr">
        <is>
          <t>02.00</t>
        </is>
      </c>
      <c r="C11" s="13" t="inlineStr">
        <is>
          <t>DESARENADOR DE DOBLE NAVE</t>
        </is>
      </c>
      <c r="D11" s="18" t="inlineStr"/>
      <c r="E11" s="13" t="n"/>
      <c r="F11" s="13" t="n"/>
      <c r="G11" s="13" t="n"/>
    </row>
    <row r="12">
      <c r="B12" s="9" t="inlineStr">
        <is>
          <t>02.01</t>
        </is>
      </c>
      <c r="C12" s="10" t="inlineStr">
        <is>
          <t>Excavación en material común y roca fracturada</t>
        </is>
      </c>
      <c r="D12" s="9" t="inlineStr">
        <is>
          <t>m3</t>
        </is>
      </c>
      <c r="E12" s="19" t="n">
        <v>120</v>
      </c>
      <c r="F12" s="11" t="n">
        <v>28</v>
      </c>
      <c r="G12" s="11" t="n">
        <v>3360</v>
      </c>
    </row>
    <row r="13">
      <c r="B13" s="9" t="inlineStr">
        <is>
          <t>02.02</t>
        </is>
      </c>
      <c r="C13" s="10" t="inlineStr">
        <is>
          <t>Concreto armado f'c=210 kg/cm2 en muros y solera desarenador</t>
        </is>
      </c>
      <c r="D13" s="9" t="inlineStr">
        <is>
          <t>m3</t>
        </is>
      </c>
      <c r="E13" s="19" t="n">
        <v>32</v>
      </c>
      <c r="F13" s="11" t="n">
        <v>240</v>
      </c>
      <c r="G13" s="11" t="n">
        <v>7680</v>
      </c>
    </row>
    <row r="14">
      <c r="B14" s="9" t="inlineStr">
        <is>
          <t>02.03</t>
        </is>
      </c>
      <c r="C14" s="10" t="inlineStr">
        <is>
          <t>Acero corrugado fy=4200 kg/cm2 grado 60</t>
        </is>
      </c>
      <c r="D14" s="9" t="inlineStr">
        <is>
          <t>kg</t>
        </is>
      </c>
      <c r="E14" s="19" t="n">
        <v>2400</v>
      </c>
      <c r="F14" s="11" t="n">
        <v>2.1</v>
      </c>
      <c r="G14" s="11" t="n">
        <v>5040</v>
      </c>
    </row>
    <row r="15">
      <c r="B15" s="9" t="inlineStr">
        <is>
          <t>02.04</t>
        </is>
      </c>
      <c r="C15" s="10" t="inlineStr">
        <is>
          <t>Vertederos proporcionales tipo Sutro y compuertas de purga rápida</t>
        </is>
      </c>
      <c r="D15" s="9" t="inlineStr">
        <is>
          <t>glb</t>
        </is>
      </c>
      <c r="E15" s="19" t="n">
        <v>1</v>
      </c>
      <c r="F15" s="11" t="n">
        <v>4500</v>
      </c>
      <c r="G15" s="11" t="n">
        <v>4500</v>
      </c>
    </row>
    <row r="16">
      <c r="B16" s="18" t="inlineStr">
        <is>
          <t>03.00</t>
        </is>
      </c>
      <c r="C16" s="13" t="inlineStr">
        <is>
          <t>CANAL DE ADUCCIÓN RECTANGULAR (450 M)</t>
        </is>
      </c>
      <c r="D16" s="18" t="inlineStr"/>
      <c r="E16" s="13" t="n"/>
      <c r="F16" s="13" t="n"/>
      <c r="G16" s="13" t="n"/>
    </row>
    <row r="17">
      <c r="B17" s="9" t="inlineStr">
        <is>
          <t>03.01</t>
        </is>
      </c>
      <c r="C17" s="10" t="inlineStr">
        <is>
          <t>Excavación en roca y material semirduro a media ladera</t>
        </is>
      </c>
      <c r="D17" s="9" t="inlineStr">
        <is>
          <t>m3</t>
        </is>
      </c>
      <c r="E17" s="19" t="n">
        <v>380</v>
      </c>
      <c r="F17" s="11" t="n">
        <v>35</v>
      </c>
      <c r="G17" s="11" t="n">
        <v>13300</v>
      </c>
    </row>
    <row r="18">
      <c r="B18" s="9" t="inlineStr">
        <is>
          <t>03.02</t>
        </is>
      </c>
      <c r="C18" s="10" t="inlineStr">
        <is>
          <t>Concreto ciclópeo f'c=175 kg/cm2 para canal rectangular (0.50x0.60m)</t>
        </is>
      </c>
      <c r="D18" s="9" t="inlineStr">
        <is>
          <t>m3</t>
        </is>
      </c>
      <c r="E18" s="19" t="n">
        <v>115</v>
      </c>
      <c r="F18" s="11" t="n">
        <v>160</v>
      </c>
      <c r="G18" s="11" t="n">
        <v>18400</v>
      </c>
    </row>
    <row r="19">
      <c r="B19" s="9" t="inlineStr">
        <is>
          <t>03.03</t>
        </is>
      </c>
      <c r="C19" s="10" t="inlineStr">
        <is>
          <t>Juntas de dilatación elastoméricas premoldeadas cada 6.0 m</t>
        </is>
      </c>
      <c r="D19" s="9" t="inlineStr">
        <is>
          <t>m</t>
        </is>
      </c>
      <c r="E19" s="19" t="n">
        <v>150</v>
      </c>
      <c r="F19" s="11" t="n">
        <v>18</v>
      </c>
      <c r="G19" s="11" t="n">
        <v>2700</v>
      </c>
    </row>
    <row r="20">
      <c r="B20" s="9" t="inlineStr">
        <is>
          <t>03.04</t>
        </is>
      </c>
      <c r="C20" s="10" t="inlineStr">
        <is>
          <t>Muros de protección y banquetas contra caída de piedras</t>
        </is>
      </c>
      <c r="D20" s="9" t="inlineStr">
        <is>
          <t>m</t>
        </is>
      </c>
      <c r="E20" s="19" t="n">
        <v>90</v>
      </c>
      <c r="F20" s="11" t="n">
        <v>84.44</v>
      </c>
      <c r="G20" s="11" t="n">
        <v>7600</v>
      </c>
    </row>
    <row r="21">
      <c r="B21" s="18" t="inlineStr">
        <is>
          <t>04.00</t>
        </is>
      </c>
      <c r="C21" s="13" t="inlineStr">
        <is>
          <t>CÁMARA DE CARGA, ALIVIADERO Y DADOS DE ANCLAJE</t>
        </is>
      </c>
      <c r="D21" s="18" t="inlineStr"/>
      <c r="E21" s="13" t="n"/>
      <c r="F21" s="13" t="n"/>
      <c r="G21" s="13" t="n"/>
    </row>
    <row r="22">
      <c r="B22" s="9" t="inlineStr">
        <is>
          <t>04.01</t>
        </is>
      </c>
      <c r="C22" s="10" t="inlineStr">
        <is>
          <t>Excavación masiva para explanada de cámara de carga</t>
        </is>
      </c>
      <c r="D22" s="9" t="inlineStr">
        <is>
          <t>m3</t>
        </is>
      </c>
      <c r="E22" s="19" t="n">
        <v>95</v>
      </c>
      <c r="F22" s="11" t="n">
        <v>26</v>
      </c>
      <c r="G22" s="11" t="n">
        <v>2470</v>
      </c>
    </row>
    <row r="23">
      <c r="B23" s="9" t="inlineStr">
        <is>
          <t>04.02</t>
        </is>
      </c>
      <c r="C23" s="10" t="inlineStr">
        <is>
          <t>Concreto armado f'c=210 kg/cm2 en cámara de carga (V=22.5 m3)</t>
        </is>
      </c>
      <c r="D23" s="9" t="inlineStr">
        <is>
          <t>m3</t>
        </is>
      </c>
      <c r="E23" s="19" t="n">
        <v>28</v>
      </c>
      <c r="F23" s="11" t="n">
        <v>250</v>
      </c>
      <c r="G23" s="11" t="n">
        <v>7000</v>
      </c>
    </row>
    <row r="24">
      <c r="B24" s="9" t="inlineStr">
        <is>
          <t>04.03</t>
        </is>
      </c>
      <c r="C24" s="10" t="inlineStr">
        <is>
          <t>Rejilla fina con limpiarrejas manual y compuerta de admisión</t>
        </is>
      </c>
      <c r="D24" s="9" t="inlineStr">
        <is>
          <t>glb</t>
        </is>
      </c>
      <c r="E24" s="19" t="n">
        <v>1</v>
      </c>
      <c r="F24" s="11" t="n">
        <v>4800</v>
      </c>
      <c r="G24" s="11" t="n">
        <v>4800</v>
      </c>
    </row>
    <row r="25">
      <c r="B25" s="9" t="inlineStr">
        <is>
          <t>04.04</t>
        </is>
      </c>
      <c r="C25" s="10" t="inlineStr">
        <is>
          <t>Concreto ciclópeo f'c=175 kg/cm2 en 4 bloques de anclaje (A1 a A4)</t>
        </is>
      </c>
      <c r="D25" s="9" t="inlineStr">
        <is>
          <t>m3</t>
        </is>
      </c>
      <c r="E25" s="19" t="n">
        <v>59</v>
      </c>
      <c r="F25" s="11" t="n">
        <v>145</v>
      </c>
      <c r="G25" s="11" t="n">
        <v>8555</v>
      </c>
    </row>
    <row r="26">
      <c r="B26" s="9" t="inlineStr">
        <is>
          <t>04.05</t>
        </is>
      </c>
      <c r="C26" s="10" t="inlineStr">
        <is>
          <t>Tubo de ventilación anti-vacío de acero galvanizado DN 100mm</t>
        </is>
      </c>
      <c r="D26" s="9" t="inlineStr">
        <is>
          <t>und</t>
        </is>
      </c>
      <c r="E26" s="19" t="n">
        <v>1</v>
      </c>
      <c r="F26" s="11" t="n">
        <v>1175</v>
      </c>
      <c r="G26" s="11" t="n">
        <v>1175</v>
      </c>
    </row>
    <row r="27">
      <c r="B27" s="18" t="inlineStr">
        <is>
          <t>05.00</t>
        </is>
      </c>
      <c r="C27" s="13" t="inlineStr">
        <is>
          <t>TUBERÍA FORZADA PENSTOCK (D=250 MM, L=380 M)</t>
        </is>
      </c>
      <c r="D27" s="18" t="inlineStr"/>
      <c r="E27" s="13" t="n"/>
      <c r="F27" s="13" t="n"/>
      <c r="G27" s="13" t="n"/>
    </row>
    <row r="28">
      <c r="B28" s="9" t="inlineStr">
        <is>
          <t>05.01</t>
        </is>
      </c>
      <c r="C28" s="10" t="inlineStr">
        <is>
          <t>Tubería de acero ASTM A36 soldada longitudinalmente e=4.75mm (0-200m)</t>
        </is>
      </c>
      <c r="D28" s="9" t="inlineStr">
        <is>
          <t>m</t>
        </is>
      </c>
      <c r="E28" s="19" t="n">
        <v>200</v>
      </c>
      <c r="F28" s="11" t="n">
        <v>95</v>
      </c>
      <c r="G28" s="11" t="n">
        <v>19000</v>
      </c>
    </row>
    <row r="29">
      <c r="B29" s="9" t="inlineStr">
        <is>
          <t>05.02</t>
        </is>
      </c>
      <c r="C29" s="10" t="inlineStr">
        <is>
          <t>Tubería de acero ASTM A36 soldada longitudinalmente e=6.35mm (200-380m)</t>
        </is>
      </c>
      <c r="D29" s="9" t="inlineStr">
        <is>
          <t>m</t>
        </is>
      </c>
      <c r="E29" s="19" t="n">
        <v>180</v>
      </c>
      <c r="F29" s="11" t="n">
        <v>120</v>
      </c>
      <c r="G29" s="11" t="n">
        <v>21600</v>
      </c>
    </row>
    <row r="30">
      <c r="B30" s="9" t="inlineStr">
        <is>
          <t>05.03</t>
        </is>
      </c>
      <c r="C30" s="10" t="inlineStr">
        <is>
          <t>Juntas de dilatación tipo Dresser para alta presión</t>
        </is>
      </c>
      <c r="D30" s="9" t="inlineStr">
        <is>
          <t>und</t>
        </is>
      </c>
      <c r="E30" s="19" t="n">
        <v>4</v>
      </c>
      <c r="F30" s="11" t="n">
        <v>725</v>
      </c>
      <c r="G30" s="11" t="n">
        <v>2900</v>
      </c>
    </row>
    <row r="31">
      <c r="B31" s="18" t="inlineStr">
        <is>
          <t>06.00</t>
        </is>
      </c>
      <c r="C31" s="13" t="inlineStr">
        <is>
          <t>EQUIPAMIENTO ELECTROMECÁNICO Y GENERADOR</t>
        </is>
      </c>
      <c r="D31" s="18" t="inlineStr"/>
      <c r="E31" s="13" t="n"/>
      <c r="F31" s="13" t="n"/>
      <c r="G31" s="13" t="n"/>
    </row>
    <row r="32">
      <c r="B32" s="9" t="inlineStr">
        <is>
          <t>06.01</t>
        </is>
      </c>
      <c r="C32" s="10" t="inlineStr">
        <is>
          <t>Turbina Pelton horizontal de 2 inyectores con rodete CA6NM (114.6 kW)</t>
        </is>
      </c>
      <c r="D32" s="9" t="inlineStr">
        <is>
          <t>und</t>
        </is>
      </c>
      <c r="E32" s="19" t="n">
        <v>1</v>
      </c>
      <c r="F32" s="11" t="n">
        <v>28500</v>
      </c>
      <c r="G32" s="11" t="n">
        <v>28500</v>
      </c>
    </row>
    <row r="33">
      <c r="B33" s="9" t="inlineStr">
        <is>
          <t>06.02</t>
        </is>
      </c>
      <c r="C33" s="10" t="inlineStr">
        <is>
          <t>Válvula esférica de guarda DN 200 mm con contrapeso y cierre hidráulico</t>
        </is>
      </c>
      <c r="D33" s="9" t="inlineStr">
        <is>
          <t>und</t>
        </is>
      </c>
      <c r="E33" s="19" t="n">
        <v>1</v>
      </c>
      <c r="F33" s="11" t="n">
        <v>6500</v>
      </c>
      <c r="G33" s="11" t="n">
        <v>6500</v>
      </c>
    </row>
    <row r="34">
      <c r="B34" s="9" t="inlineStr">
        <is>
          <t>06.03</t>
        </is>
      </c>
      <c r="C34" s="10" t="inlineStr">
        <is>
          <t>Regulador Electrónico de Carga (ELC) PWM y banco resistivo 120 kW</t>
        </is>
      </c>
      <c r="D34" s="9" t="inlineStr">
        <is>
          <t>und</t>
        </is>
      </c>
      <c r="E34" s="19" t="n">
        <v>1</v>
      </c>
      <c r="F34" s="11" t="n">
        <v>10000</v>
      </c>
      <c r="G34" s="11" t="n">
        <v>10000</v>
      </c>
    </row>
    <row r="35">
      <c r="B35" s="9" t="inlineStr">
        <is>
          <t>06.04</t>
        </is>
      </c>
      <c r="C35" s="10" t="inlineStr">
        <is>
          <t>Generador síncrono trifásico brushless 125 kVA, 0.4 kV, 1200 RPM</t>
        </is>
      </c>
      <c r="D35" s="9" t="inlineStr">
        <is>
          <t>und</t>
        </is>
      </c>
      <c r="E35" s="19" t="n">
        <v>1</v>
      </c>
      <c r="F35" s="11" t="n">
        <v>12500</v>
      </c>
      <c r="G35" s="11" t="n">
        <v>12500</v>
      </c>
    </row>
    <row r="36">
      <c r="B36" s="9" t="inlineStr">
        <is>
          <t>06.05</t>
        </is>
      </c>
      <c r="C36" s="10" t="inlineStr">
        <is>
          <t>Tablero de control, sincronización y protecciones digitales ANSI</t>
        </is>
      </c>
      <c r="D36" s="9" t="inlineStr">
        <is>
          <t>und</t>
        </is>
      </c>
      <c r="E36" s="19" t="n">
        <v>1</v>
      </c>
      <c r="F36" s="11" t="n">
        <v>4000</v>
      </c>
      <c r="G36" s="11" t="n">
        <v>4000</v>
      </c>
    </row>
    <row r="37">
      <c r="B37" s="18" t="inlineStr">
        <is>
          <t>07.00</t>
        </is>
      </c>
      <c r="C37" s="13" t="inlineStr">
        <is>
          <t>SUBESTACIÓN ELEVADORA Y LÍNEA DE MEDIA TENSIÓN</t>
        </is>
      </c>
      <c r="D37" s="18" t="inlineStr"/>
      <c r="E37" s="13" t="n"/>
      <c r="F37" s="13" t="n"/>
      <c r="G37" s="13" t="n"/>
    </row>
    <row r="38">
      <c r="B38" s="9" t="inlineStr">
        <is>
          <t>07.01</t>
        </is>
      </c>
      <c r="C38" s="10" t="inlineStr">
        <is>
          <t>Transformador trifásico elevador 125 kVA 0.38/10 kV ONAN Dyn5</t>
        </is>
      </c>
      <c r="D38" s="9" t="inlineStr">
        <is>
          <t>und</t>
        </is>
      </c>
      <c r="E38" s="19" t="n">
        <v>1</v>
      </c>
      <c r="F38" s="11" t="n">
        <v>8200</v>
      </c>
      <c r="G38" s="11" t="n">
        <v>8200</v>
      </c>
    </row>
    <row r="39">
      <c r="B39" s="9" t="inlineStr">
        <is>
          <t>07.02</t>
        </is>
      </c>
      <c r="C39" s="10" t="inlineStr">
        <is>
          <t>Línea aérea de media tensión 10 kV con conductor AAAC 35 mm2 (3.2 km)</t>
        </is>
      </c>
      <c r="D39" s="9" t="inlineStr">
        <is>
          <t>km</t>
        </is>
      </c>
      <c r="E39" s="19" t="n">
        <v>3.2</v>
      </c>
      <c r="F39" s="11" t="n">
        <v>1500</v>
      </c>
      <c r="G39" s="11" t="n">
        <v>4800</v>
      </c>
    </row>
    <row r="40">
      <c r="B40" s="9" t="inlineStr">
        <is>
          <t>07.03</t>
        </is>
      </c>
      <c r="C40" s="10" t="inlineStr">
        <is>
          <t>Malla de puesta a tierra profunda IEEE 80 con 8 jabalinas (Rpat=3.79 Ω)</t>
        </is>
      </c>
      <c r="D40" s="9" t="inlineStr">
        <is>
          <t>glb</t>
        </is>
      </c>
      <c r="E40" s="19" t="n">
        <v>1</v>
      </c>
      <c r="F40" s="11" t="n">
        <v>1500</v>
      </c>
      <c r="G40" s="11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56" customWidth="1" min="3" max="3"/>
    <col width="25" customWidth="1" min="4" max="4"/>
    <col width="13" customWidth="1" min="5" max="5"/>
    <col width="12" customWidth="1" min="6" max="6"/>
    <col width="15" customWidth="1" min="7" max="7"/>
    <col width="16" customWidth="1" min="8" max="8"/>
  </cols>
  <sheetData>
    <row r="1"/>
    <row r="2">
      <c r="B2" s="1" t="inlineStr">
        <is>
          <t>ANÁLISIS DE PRECIOS UNITARIOS REPRESENTATIVOS (APU)</t>
        </is>
      </c>
    </row>
    <row r="3"/>
    <row r="4">
      <c r="B4" s="16" t="inlineStr">
        <is>
          <t>PARTIDA: 01.03</t>
        </is>
      </c>
      <c r="C4" s="16" t="inlineStr">
        <is>
          <t>CONCRETO CICLÓPEO f'c=175 kg/cm2 + 30% PIEDRA MEDIANA</t>
        </is>
      </c>
      <c r="D4" s="16" t="inlineStr">
        <is>
          <t>Rendimiento: 12 m3/día</t>
        </is>
      </c>
      <c r="E4" s="16" t="inlineStr">
        <is>
          <t>Unidad: m3</t>
        </is>
      </c>
    </row>
    <row r="5">
      <c r="B5" s="20" t="inlineStr">
        <is>
          <t>Recurso / Insumo</t>
        </is>
      </c>
      <c r="C5" s="20" t="inlineStr">
        <is>
          <t>Descripción del Recurso</t>
        </is>
      </c>
      <c r="D5" s="20" t="inlineStr">
        <is>
          <t>Unidad</t>
        </is>
      </c>
      <c r="E5" s="20" t="inlineStr">
        <is>
          <t>Cuadrilla</t>
        </is>
      </c>
      <c r="F5" s="20" t="inlineStr">
        <is>
          <t>Cantidad</t>
        </is>
      </c>
      <c r="G5" s="20" t="inlineStr">
        <is>
          <t>Precio [USD]</t>
        </is>
      </c>
      <c r="H5" s="20" t="inlineStr">
        <is>
          <t>Parcial [USD]</t>
        </is>
      </c>
    </row>
    <row r="6">
      <c r="B6" s="16" t="inlineStr">
        <is>
          <t>MANO DE OBRA</t>
        </is>
      </c>
      <c r="C6" s="16" t="inlineStr"/>
      <c r="D6" s="16" t="inlineStr"/>
      <c r="E6" s="16" t="inlineStr"/>
      <c r="F6" s="16" t="inlineStr"/>
      <c r="G6" s="16" t="inlineStr"/>
      <c r="H6" s="16" t="inlineStr"/>
    </row>
    <row r="7">
      <c r="B7" s="10" t="inlineStr">
        <is>
          <t>MO-01</t>
        </is>
      </c>
      <c r="C7" s="10" t="inlineStr">
        <is>
          <t>Capataz</t>
        </is>
      </c>
      <c r="D7" s="10" t="inlineStr">
        <is>
          <t>hh</t>
        </is>
      </c>
      <c r="E7" s="10" t="n">
        <v>0.2</v>
      </c>
      <c r="F7" s="11" t="n">
        <v>0.133</v>
      </c>
      <c r="G7" s="11" t="n">
        <v>8.5</v>
      </c>
      <c r="H7" s="11" t="n">
        <v>1.13</v>
      </c>
    </row>
    <row r="8">
      <c r="B8" s="10" t="inlineStr">
        <is>
          <t>MO-02</t>
        </is>
      </c>
      <c r="C8" s="10" t="inlineStr">
        <is>
          <t>Operario</t>
        </is>
      </c>
      <c r="D8" s="10" t="inlineStr">
        <is>
          <t>hh</t>
        </is>
      </c>
      <c r="E8" s="10" t="n">
        <v>1</v>
      </c>
      <c r="F8" s="11" t="n">
        <v>0.667</v>
      </c>
      <c r="G8" s="11" t="n">
        <v>7.2</v>
      </c>
      <c r="H8" s="11" t="n">
        <v>4.8</v>
      </c>
    </row>
    <row r="9">
      <c r="B9" s="10" t="inlineStr">
        <is>
          <t>MO-03</t>
        </is>
      </c>
      <c r="C9" s="10" t="inlineStr">
        <is>
          <t>Oficial</t>
        </is>
      </c>
      <c r="D9" s="10" t="inlineStr">
        <is>
          <t>hh</t>
        </is>
      </c>
      <c r="E9" s="10" t="n">
        <v>1</v>
      </c>
      <c r="F9" s="11" t="n">
        <v>0.667</v>
      </c>
      <c r="G9" s="11" t="n">
        <v>5.8</v>
      </c>
      <c r="H9" s="11" t="n">
        <v>3.87</v>
      </c>
    </row>
    <row r="10">
      <c r="B10" s="10" t="inlineStr">
        <is>
          <t>MO-04</t>
        </is>
      </c>
      <c r="C10" s="10" t="inlineStr">
        <is>
          <t>Peón</t>
        </is>
      </c>
      <c r="D10" s="10" t="inlineStr">
        <is>
          <t>hh</t>
        </is>
      </c>
      <c r="E10" s="10" t="n">
        <v>6</v>
      </c>
      <c r="F10" s="11" t="n">
        <v>4</v>
      </c>
      <c r="G10" s="11" t="n">
        <v>4.5</v>
      </c>
      <c r="H10" s="11" t="n">
        <v>18</v>
      </c>
    </row>
    <row r="11">
      <c r="B11" s="16" t="inlineStr">
        <is>
          <t>MATERIALES</t>
        </is>
      </c>
      <c r="C11" s="16" t="inlineStr"/>
      <c r="D11" s="16" t="inlineStr"/>
      <c r="E11" s="16" t="inlineStr"/>
      <c r="F11" s="16" t="inlineStr"/>
      <c r="G11" s="16" t="inlineStr"/>
      <c r="H11" s="16" t="inlineStr"/>
    </row>
    <row r="12">
      <c r="B12" s="10" t="inlineStr">
        <is>
          <t>MAT-01</t>
        </is>
      </c>
      <c r="C12" s="10" t="inlineStr">
        <is>
          <t>Cemento Portland Tipo IP (Bolsa 42.5 kg)</t>
        </is>
      </c>
      <c r="D12" s="10" t="inlineStr">
        <is>
          <t>bol</t>
        </is>
      </c>
      <c r="E12" s="10" t="inlineStr"/>
      <c r="F12" s="11" t="n">
        <v>7.5</v>
      </c>
      <c r="G12" s="11" t="n">
        <v>8.199999999999999</v>
      </c>
      <c r="H12" s="11" t="n">
        <v>61.5</v>
      </c>
    </row>
    <row r="13">
      <c r="B13" s="10" t="inlineStr">
        <is>
          <t>MAT-02</t>
        </is>
      </c>
      <c r="C13" s="10" t="inlineStr">
        <is>
          <t>Arena gruesa de río clasificada</t>
        </is>
      </c>
      <c r="D13" s="10" t="inlineStr">
        <is>
          <t>m3</t>
        </is>
      </c>
      <c r="E13" s="10" t="inlineStr"/>
      <c r="F13" s="11" t="n">
        <v>0.52</v>
      </c>
      <c r="G13" s="11" t="n">
        <v>22</v>
      </c>
      <c r="H13" s="11" t="n">
        <v>11.44</v>
      </c>
    </row>
    <row r="14">
      <c r="B14" s="10" t="inlineStr">
        <is>
          <t>MAT-03</t>
        </is>
      </c>
      <c r="C14" s="10" t="inlineStr">
        <is>
          <t>Piedra chancada 1/2'' a 3/4''</t>
        </is>
      </c>
      <c r="D14" s="10" t="inlineStr">
        <is>
          <t>m3</t>
        </is>
      </c>
      <c r="E14" s="10" t="inlineStr"/>
      <c r="F14" s="11" t="n">
        <v>0.55</v>
      </c>
      <c r="G14" s="11" t="n">
        <v>24</v>
      </c>
      <c r="H14" s="11" t="n">
        <v>13.2</v>
      </c>
    </row>
    <row r="15">
      <c r="B15" s="10" t="inlineStr">
        <is>
          <t>MAT-04</t>
        </is>
      </c>
      <c r="C15" s="10" t="inlineStr">
        <is>
          <t>Piedra mediana de río seleccionada (max 6'')</t>
        </is>
      </c>
      <c r="D15" s="10" t="inlineStr">
        <is>
          <t>m3</t>
        </is>
      </c>
      <c r="E15" s="10" t="inlineStr"/>
      <c r="F15" s="11" t="n">
        <v>0.35</v>
      </c>
      <c r="G15" s="11" t="n">
        <v>18</v>
      </c>
      <c r="H15" s="11" t="n">
        <v>6.3</v>
      </c>
    </row>
    <row r="16">
      <c r="B16" s="10" t="inlineStr">
        <is>
          <t>MAT-05</t>
        </is>
      </c>
      <c r="C16" s="10" t="inlineStr">
        <is>
          <t>Agua para mezclado y curado</t>
        </is>
      </c>
      <c r="D16" s="10" t="inlineStr">
        <is>
          <t>m3</t>
        </is>
      </c>
      <c r="E16" s="10" t="inlineStr"/>
      <c r="F16" s="11" t="n">
        <v>0.18</v>
      </c>
      <c r="G16" s="11" t="n">
        <v>5</v>
      </c>
      <c r="H16" s="11" t="n">
        <v>0.9</v>
      </c>
    </row>
    <row r="17">
      <c r="B17" s="16" t="inlineStr">
        <is>
          <t>EQUIPOS Y HERRAMIENTAS</t>
        </is>
      </c>
      <c r="C17" s="16" t="inlineStr"/>
      <c r="D17" s="16" t="inlineStr"/>
      <c r="E17" s="16" t="inlineStr"/>
      <c r="F17" s="16" t="inlineStr"/>
      <c r="G17" s="16" t="inlineStr"/>
      <c r="H17" s="16" t="inlineStr"/>
    </row>
    <row r="18">
      <c r="B18" s="10" t="inlineStr">
        <is>
          <t>EQ-01</t>
        </is>
      </c>
      <c r="C18" s="10" t="inlineStr">
        <is>
          <t>Mezcladora de concreto tambor 9-11 p3</t>
        </is>
      </c>
      <c r="D18" s="10" t="inlineStr">
        <is>
          <t>hm</t>
        </is>
      </c>
      <c r="E18" s="10" t="n">
        <v>1</v>
      </c>
      <c r="F18" s="11" t="n">
        <v>0.667</v>
      </c>
      <c r="G18" s="11" t="n">
        <v>12</v>
      </c>
      <c r="H18" s="11" t="n">
        <v>8</v>
      </c>
    </row>
    <row r="19">
      <c r="B19" s="10" t="inlineStr">
        <is>
          <t>EQ-02</t>
        </is>
      </c>
      <c r="C19" s="10" t="inlineStr">
        <is>
          <t>Vibrador de concreto 4 HP 1.5'' cabezal</t>
        </is>
      </c>
      <c r="D19" s="10" t="inlineStr">
        <is>
          <t>hm</t>
        </is>
      </c>
      <c r="E19" s="10" t="n">
        <v>1</v>
      </c>
      <c r="F19" s="11" t="n">
        <v>0.667</v>
      </c>
      <c r="G19" s="11" t="n">
        <v>6.5</v>
      </c>
      <c r="H19" s="11" t="n">
        <v>4.34</v>
      </c>
    </row>
    <row r="20">
      <c r="B20" s="10" t="inlineStr">
        <is>
          <t>EQ-03</t>
        </is>
      </c>
      <c r="C20" s="10" t="inlineStr">
        <is>
          <t>Herramientas manuales (3% MO)</t>
        </is>
      </c>
      <c r="D20" s="10" t="inlineStr">
        <is>
          <t>%MO</t>
        </is>
      </c>
      <c r="E20" s="10" t="inlineStr"/>
      <c r="F20" s="11" t="n">
        <v>0.03</v>
      </c>
      <c r="G20" s="11" t="n">
        <v>27.8</v>
      </c>
      <c r="H20" s="11" t="n">
        <v>0.83</v>
      </c>
    </row>
    <row r="21">
      <c r="B21" s="21" t="inlineStr">
        <is>
          <t>COSTO DIRECTO TOTAL UNITARIO</t>
        </is>
      </c>
      <c r="C21" s="21" t="inlineStr"/>
      <c r="D21" s="21" t="inlineStr"/>
      <c r="E21" s="21" t="inlineStr"/>
      <c r="F21" s="21" t="inlineStr"/>
      <c r="G21" s="21" t="inlineStr"/>
      <c r="H21" s="22" t="n">
        <v>134.31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2026-09-27T18:21:12Z</dcterms:created>
  <dcterms:modified xmlns:dcterms="http://purl.org/dc/terms/" xmlns:xsi="http://www.w3.org/2001/XMLSchema-instance" xsi:type="dcterms:W3CDTF">2026-09-27T18:21:12Z</dcterms:modified>
</cp:coreProperties>
</file>